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3"/>
  </bookViews>
  <sheets>
    <sheet name="Table1_Stats" sheetId="3" r:id="rId1"/>
    <sheet name="Table2_Baseline" sheetId="4" r:id="rId2"/>
    <sheet name="Fig7_PriorScale" sheetId="11" r:id="rId3"/>
    <sheet name="Dataset_Splits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<sst xmlns="http://schemas.openxmlformats.org/spreadsheetml/2006/main" count="86" uniqueCount="64">
  <si>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Table 1 — Statistics of ExploDD</t>
  </si>
  <si>
    <t>Subset</t>
  </si>
  <si>
    <t>Num. Seqs.</t>
  </si>
  <si>
    <t>Resolution</t>
  </si>
  <si>
    <t>Rendered video frames</t>
  </si>
  <si>
    <t>Recording duration (µs)</t>
  </si>
  <si>
    <t>BBoxes</t>
  </si>
  <si>
    <t>Avg. BBoxes/Seq.</t>
  </si>
  <si>
    <t>Notes</t>
  </si>
  <si>
    <t>ExploDD-S</t>
  </si>
  <si>
    <t xml:space="preserve">                    1280×720</t>
  </si>
  <si>
    <t xml:space="preserve">                                           —</t>
  </si>
  <si>
    <t>Synthetic subset generated from Blender-rendered videos converted by GP-v2e</t>
  </si>
  <si>
    <t>ExploDD-R</t>
  </si>
  <si>
    <t xml:space="preserve">                                       —</t>
  </si>
  <si>
    <t>Real-world event subset;  5781 × 10^2 µs total recording duration</t>
  </si>
  <si>
    <t>Total</t>
  </si>
  <si>
    <t xml:space="preserve">                               —</t>
  </si>
  <si>
    <t xml:space="preserve">                                   —</t>
  </si>
  <si>
    <t>Total sequences and bounding boxes across both subsets</t>
  </si>
  <si>
    <t>Table 2 — Baseline performance on ExploDD</t>
  </si>
  <si>
    <t>Extracted performance metrics and formula-driven comparisons for GP-v2e vs raw v2e and fine-tuning.</t>
  </si>
  <si>
    <t>Regime</t>
  </si>
  <si>
    <t>Training On</t>
  </si>
  <si>
    <t>Finetune</t>
  </si>
  <si>
    <t>Test On</t>
  </si>
  <si>
    <t>mAP (%)</t>
  </si>
  <si>
    <t>AP50 (%)</t>
  </si>
  <si>
    <t>AP75 (%)</t>
  </si>
  <si>
    <t>In Domain</t>
  </si>
  <si>
    <t>—</t>
  </si>
  <si>
    <t>Synthetic train/test</t>
  </si>
  <si>
    <t>Real-world train/test</t>
  </si>
  <si>
    <t>Cross Domain</t>
  </si>
  <si>
    <t>ExploDD-S-v2e</t>
  </si>
  <si>
    <t>No (zero-shot)</t>
  </si>
  <si>
    <t>Raw v2e synthetic-to-real zero-shot</t>
  </si>
  <si>
    <t>GP-v2e synthetic-to-real zero-shot</t>
  </si>
  <si>
    <t>Yes (1 epoch)</t>
  </si>
  <si>
    <t>GP-v2e pretrain + real fine-tuning</t>
  </si>
  <si>
    <t>Sources: Explosion_Event.pdf; Nature Communications source-data guidance: https://www.nature.com/ncomms/submit/how-to-submit. Workbook generated 2026-05-11.</t>
  </si>
  <si>
    <t>Fig. 7 — Trend estimation of prior scale factors</t>
  </si>
  <si>
    <t>Parameter</t>
  </si>
  <si>
    <t>Start value at Stage 1</t>
  </si>
  <si>
    <t>End value at Stage 4</t>
  </si>
  <si>
    <t>Linear slope per stage step</t>
  </si>
  <si>
    <t>σxf</t>
  </si>
  <si>
    <t>σyf</t>
  </si>
  <si>
    <t>Stage</t>
  </si>
  <si>
    <t>σxf fitted value</t>
  </si>
  <si>
    <t>σyf fitted value</t>
  </si>
  <si>
    <t>Stage interpretation</t>
  </si>
  <si>
    <t>Ignition</t>
  </si>
  <si>
    <t>Early diffusion</t>
  </si>
  <si>
    <t>Mid diffusion</t>
  </si>
  <si>
    <t>Termination</t>
  </si>
  <si>
    <t>Dataset Splits</t>
  </si>
  <si>
    <t>Train</t>
  </si>
  <si>
    <t>Validation</t>
  </si>
  <si>
    <t>Test</t>
  </si>
  <si>
    <t>Split basis</t>
  </si>
  <si>
    <t>Unique scenarios</t>
  </si>
  <si>
    <t xml:space="preserve">                         -</t>
  </si>
  <si>
    <t>Sequence 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</si>
</sst>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</numFmts>
  <fonts count="25">
    <font>
      <sz val="11"/>
      <name val="Carlito"/>
      <charset val="134"/>
    </font>
    <font>
      <b/>
      <sz val="16"/>
      <color rgb="FFFFFFFF"/>
      <name val="Arial"/>
      <charset val="134"/>
    </font>
    <font>
      <i/>
      <sz val="10"/>
      <color rgb="FF1F2933"/>
      <name val="Arial"/>
      <charset val="134"/>
    </font>
    <font>
      <sz val="10"/>
      <color rgb="FF1F2933"/>
      <name val="Arial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1" fillId="0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left" vertical="top" wrapText="1"/>
    </xf>
    <xf numFmtId="0" fontId="3" fillId="0" borderId="0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 applyAlignment="1">
      <alignment horizontal="center" vertical="center" wrapText="1"/>
    </xf>
    <xf numFmtId="1" fontId="3" fillId="0" borderId="0" xfId="49" applyNumberFormat="1" applyFont="1" applyFill="1" applyBorder="1" applyAlignment="1">
      <alignment vertical="top" wrapText="1"/>
    </xf>
    <xf numFmtId="0" fontId="5" fillId="0" borderId="0" xfId="0" applyFont="1">
      <alignment vertical="center"/>
    </xf>
    <xf numFmtId="0" fontId="2" fillId="5" borderId="0" xfId="49" applyNumberFormat="1" applyFont="1" applyFill="1" applyBorder="1" applyAlignment="1">
      <alignment vertical="top" wrapText="1"/>
    </xf>
    <xf numFmtId="176" fontId="3" fillId="0" borderId="0" xfId="49" applyNumberFormat="1" applyFont="1" applyFill="1" applyBorder="1" applyAlignment="1">
      <alignment vertical="top" wrapText="1"/>
    </xf>
    <xf numFmtId="177" fontId="3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1Stats" displayName="Table1Stats" ref="A4:H7">
  <tableColumns count="8">
    <tableColumn id="1" name="Subset"/>
    <tableColumn id="2" name="Num. Seqs."/>
    <tableColumn id="3" name="Resolution"/>
    <tableColumn id="4" name="Rendered video frames"/>
    <tableColumn id="5" name="Recording duration (µs)"/>
    <tableColumn id="6" name="BBoxes"/>
    <tableColumn id="7" name="Avg. BBoxes/Seq."/>
    <tableColumn id="8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2Baseline" displayName="Table2Baseline" ref="A4:H9">
  <tableColumns count="8">
    <tableColumn id="1" name="Regime"/>
    <tableColumn id="2" name="Training On"/>
    <tableColumn id="3" name="Finetune"/>
    <tableColumn id="4" name="Test On"/>
    <tableColumn id="5" name="mAP (%)"/>
    <tableColumn id="6" name="AP50 (%)"/>
    <tableColumn id="7" name="AP75 (%)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7" name="Fig7Endpoints" displayName="Fig7Endpoints" ref="A4:D6">
  <tableColumns count="4">
    <tableColumn id="1" name="Parameter"/>
    <tableColumn id="2" name="Start value at Stage 1"/>
    <tableColumn id="3" name="End value at Stage 4"/>
    <tableColumn id="4" name="Linear slope per stage ste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8" name="Fig7Fitted" displayName="Fig7Fitted" ref="A9:D13">
  <tableColumns count="4">
    <tableColumn id="1" name="Stage"/>
    <tableColumn id="2" name="σxf fitted value"/>
    <tableColumn id="3" name="σyf fitted value"/>
    <tableColumn id="4" name="Stage 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1" name="SplitCounts" displayName="SplitCounts" ref="A4:F6">
  <tableColumns count="6">
    <tableColumn id="1" name="Subset"/>
    <tableColumn id="2" name="Train"/>
    <tableColumn id="3" name="Validation"/>
    <tableColumn id="4" name="Test"/>
    <tableColumn id="5" name="Total"/>
    <tableColumn id="6" name="Split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C13" sqref="C13"/>
    </sheetView>
  </sheetViews>
  <sheetFormatPr defaultColWidth="9" defaultRowHeight="14.25"/>
  <cols>
    <col min="1" max="1" width="30" customWidth="1"/>
    <col min="2" max="2" width="16" customWidth="1"/>
    <col min="3" max="3" width="18" customWidth="1"/>
    <col min="4" max="4" width="22" customWidth="1"/>
    <col min="5" max="5" width="24" customWidth="1"/>
    <col min="6" max="6" width="16" customWidth="1"/>
    <col min="7" max="7" width="20" customWidth="1"/>
    <col min="8" max="8" width="60" customWidth="1"/>
  </cols>
  <sheetData>
    <row r="1" ht="28" customHeight="1" spans="1:26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9</v>
      </c>
      <c r="B5" s="6">
        <v>756</v>
      </c>
      <c r="C5" s="4" t="s">
        <v>10</v>
      </c>
      <c r="D5" s="6">
        <v>28992</v>
      </c>
      <c r="E5" s="6" t="s">
        <v>11</v>
      </c>
      <c r="F5" s="6">
        <v>19419</v>
      </c>
      <c r="G5" s="10">
        <f>F5/B5</f>
        <v>25.6865079365079</v>
      </c>
      <c r="H5" s="4" t="s">
        <v>12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13</v>
      </c>
      <c r="B6" s="6">
        <v>45</v>
      </c>
      <c r="C6" s="4" t="s">
        <v>10</v>
      </c>
      <c r="D6" s="6" t="s">
        <v>14</v>
      </c>
      <c r="E6" s="6">
        <v>578100</v>
      </c>
      <c r="F6" s="6">
        <v>1019</v>
      </c>
      <c r="G6" s="10">
        <f>F6/B6</f>
        <v>22.6444444444444</v>
      </c>
      <c r="H6" s="4" t="s">
        <v>15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16</v>
      </c>
      <c r="B7" s="6">
        <v>801</v>
      </c>
      <c r="C7" s="4" t="s">
        <v>17</v>
      </c>
      <c r="D7" s="6" t="s">
        <v>14</v>
      </c>
      <c r="E7" s="6" t="s">
        <v>11</v>
      </c>
      <c r="F7" s="6">
        <v>20438</v>
      </c>
      <c r="G7" s="10" t="s">
        <v>18</v>
      </c>
      <c r="H7" s="4" t="s">
        <v>19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" customHeight="1" spans="1:26">
      <c r="A24" s="8"/>
      <c r="B24" s="8"/>
      <c r="C24" s="8"/>
      <c r="D24" s="8"/>
      <c r="E24" s="8"/>
      <c r="F24" s="8"/>
      <c r="G24" s="8"/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3">
    <mergeCell ref="A1:H1"/>
    <mergeCell ref="A2:H2"/>
    <mergeCell ref="A24:H24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H1"/>
    </sheetView>
  </sheetViews>
  <sheetFormatPr defaultColWidth="9" defaultRowHeight="14.25"/>
  <cols>
    <col min="1" max="1" width="28" customWidth="1"/>
    <col min="2" max="2" width="24" customWidth="1"/>
    <col min="3" max="4" width="20" customWidth="1"/>
    <col min="5" max="7" width="14" customWidth="1"/>
    <col min="8" max="8" width="56" customWidth="1"/>
  </cols>
  <sheetData>
    <row r="1" ht="28" customHeight="1" spans="1:26">
      <c r="A1" s="1" t="s">
        <v>20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 t="s">
        <v>21</v>
      </c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8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4" t="s">
        <v>29</v>
      </c>
      <c r="B5" s="4" t="s">
        <v>9</v>
      </c>
      <c r="C5" s="4" t="s">
        <v>30</v>
      </c>
      <c r="D5" s="4" t="s">
        <v>9</v>
      </c>
      <c r="E5" s="10">
        <v>86.6</v>
      </c>
      <c r="F5" s="10">
        <v>98.8</v>
      </c>
      <c r="G5" s="10">
        <v>97.3</v>
      </c>
      <c r="H5" s="4" t="s">
        <v>31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4" t="s">
        <v>29</v>
      </c>
      <c r="B6" s="4" t="s">
        <v>13</v>
      </c>
      <c r="C6" s="4" t="s">
        <v>30</v>
      </c>
      <c r="D6" s="4" t="s">
        <v>13</v>
      </c>
      <c r="E6" s="10">
        <v>67.9</v>
      </c>
      <c r="F6" s="10">
        <v>100</v>
      </c>
      <c r="G6" s="10">
        <v>86.7</v>
      </c>
      <c r="H6" s="4" t="s">
        <v>32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4" t="s">
        <v>33</v>
      </c>
      <c r="B7" s="4" t="s">
        <v>34</v>
      </c>
      <c r="C7" s="4" t="s">
        <v>35</v>
      </c>
      <c r="D7" s="4" t="s">
        <v>13</v>
      </c>
      <c r="E7" s="10">
        <v>24</v>
      </c>
      <c r="F7" s="10">
        <v>69.4</v>
      </c>
      <c r="G7" s="10">
        <v>10.3</v>
      </c>
      <c r="H7" s="4" t="s">
        <v>36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 t="s">
        <v>33</v>
      </c>
      <c r="B8" s="4" t="s">
        <v>9</v>
      </c>
      <c r="C8" s="4" t="s">
        <v>35</v>
      </c>
      <c r="D8" s="4" t="s">
        <v>13</v>
      </c>
      <c r="E8" s="10">
        <v>49.9</v>
      </c>
      <c r="F8" s="10">
        <v>98.3</v>
      </c>
      <c r="G8" s="10">
        <v>42.2</v>
      </c>
      <c r="H8" s="4" t="s">
        <v>37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 t="s">
        <v>33</v>
      </c>
      <c r="B9" s="4" t="s">
        <v>9</v>
      </c>
      <c r="C9" s="4" t="s">
        <v>38</v>
      </c>
      <c r="D9" s="4" t="s">
        <v>13</v>
      </c>
      <c r="E9" s="10">
        <v>65.1</v>
      </c>
      <c r="F9" s="10">
        <v>100</v>
      </c>
      <c r="G9" s="10">
        <v>77.3</v>
      </c>
      <c r="H9" s="4" t="s">
        <v>39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4" customHeight="1" spans="1:26">
      <c r="A31" s="8" t="s">
        <v>40</v>
      </c>
      <c r="B31" s="8"/>
      <c r="C31" s="8"/>
      <c r="D31" s="8"/>
      <c r="E31" s="8"/>
      <c r="F31" s="8"/>
      <c r="G31" s="8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3">
    <mergeCell ref="A1:H1"/>
    <mergeCell ref="A2:H2"/>
    <mergeCell ref="A31:H3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:I1"/>
    </sheetView>
  </sheetViews>
  <sheetFormatPr defaultColWidth="9" defaultRowHeight="14.25"/>
  <cols>
    <col min="1" max="1" width="16" customWidth="1"/>
    <col min="2" max="2" width="28" customWidth="1"/>
    <col min="3" max="3" width="35.375" customWidth="1"/>
    <col min="4" max="4" width="32.375" customWidth="1"/>
    <col min="5" max="5" width="22" customWidth="1"/>
    <col min="6" max="7" width="14" customWidth="1"/>
    <col min="8" max="8" width="18" customWidth="1"/>
    <col min="9" max="9" width="24" customWidth="1"/>
    <col min="10" max="11" width="28" customWidth="1"/>
  </cols>
  <sheetData>
    <row r="1" ht="28" customHeight="1" spans="1:26">
      <c r="A1" s="1" t="s">
        <v>41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42</v>
      </c>
      <c r="B4" s="5" t="s">
        <v>43</v>
      </c>
      <c r="C4" s="5" t="s">
        <v>44</v>
      </c>
      <c r="D4" s="5" t="s">
        <v>45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6">
      <c r="A5" s="4" t="s">
        <v>46</v>
      </c>
      <c r="B5" s="9">
        <v>0.501</v>
      </c>
      <c r="C5" s="9">
        <v>0.076</v>
      </c>
      <c r="D5" s="9">
        <f>(C5-B5)/(4-1)</f>
        <v>-0.141666666666667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6">
      <c r="A6" s="4" t="s">
        <v>47</v>
      </c>
      <c r="B6" s="9">
        <v>0.487</v>
      </c>
      <c r="C6" s="9">
        <v>0.127</v>
      </c>
      <c r="D6" s="9">
        <f>(C6-B6)/(4-1)</f>
        <v>-0.12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 t="s">
        <v>48</v>
      </c>
      <c r="B9" s="5" t="s">
        <v>49</v>
      </c>
      <c r="C9" s="5" t="s">
        <v>50</v>
      </c>
      <c r="D9" s="5" t="s">
        <v>51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4">
        <v>1</v>
      </c>
      <c r="B10" s="9">
        <f>$B$5+$D$5*(A10-1)</f>
        <v>0.501</v>
      </c>
      <c r="C10" s="9">
        <f>$B$6+$D$6*(A10-1)</f>
        <v>0.487</v>
      </c>
      <c r="D10" s="4" t="s">
        <v>52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>
        <v>2</v>
      </c>
      <c r="B11" s="9">
        <f>$B$5+$D$5*(A11-1)</f>
        <v>0.359333333333333</v>
      </c>
      <c r="C11" s="9">
        <f>$B$6+$D$6*(A11-1)</f>
        <v>0.367</v>
      </c>
      <c r="D11" s="4" t="s">
        <v>53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>
        <v>3</v>
      </c>
      <c r="B12" s="9">
        <f>$B$5+$D$5*(A12-1)</f>
        <v>0.217666666666667</v>
      </c>
      <c r="C12" s="9">
        <f>$B$6+$D$6*(A12-1)</f>
        <v>0.247</v>
      </c>
      <c r="D12" s="4" t="s">
        <v>54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>
        <v>4</v>
      </c>
      <c r="B13" s="9">
        <f>$B$5+$D$5*(A13-1)</f>
        <v>0.076</v>
      </c>
      <c r="C13" s="9">
        <f>$B$6+$D$6*(A13-1)</f>
        <v>0.127</v>
      </c>
      <c r="D13" s="4" t="s">
        <v>55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4" customHeight="1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3">
    <mergeCell ref="A1:I1"/>
    <mergeCell ref="A2:I2"/>
    <mergeCell ref="A60:K60"/>
  </mergeCells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selection activeCell="A1" sqref="A1:H1"/>
    </sheetView>
  </sheetViews>
  <sheetFormatPr defaultColWidth="9" defaultRowHeight="14.25"/>
  <cols>
    <col min="1" max="1" width="22" customWidth="1"/>
    <col min="2" max="4" width="14" customWidth="1"/>
    <col min="5" max="6" width="18" customWidth="1"/>
    <col min="7" max="7" width="24" customWidth="1"/>
    <col min="8" max="8" width="16" customWidth="1"/>
    <col min="9" max="12" width="30" customWidth="1"/>
  </cols>
  <sheetData>
    <row r="1" ht="28" customHeight="1" spans="1:26">
      <c r="A1" s="1" t="s">
        <v>56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" customHeight="1" spans="1:26">
      <c r="A2" s="3"/>
      <c r="B2" s="3"/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 t="s">
        <v>1</v>
      </c>
      <c r="B4" s="5" t="s">
        <v>57</v>
      </c>
      <c r="C4" s="5" t="s">
        <v>58</v>
      </c>
      <c r="D4" s="5" t="s">
        <v>59</v>
      </c>
      <c r="E4" s="5" t="s">
        <v>16</v>
      </c>
      <c r="F4" s="5" t="s">
        <v>60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6">
      <c r="A5" s="4" t="s">
        <v>9</v>
      </c>
      <c r="B5" s="6">
        <v>504</v>
      </c>
      <c r="C5" s="6">
        <v>128</v>
      </c>
      <c r="D5" s="6">
        <v>124</v>
      </c>
      <c r="E5" s="6">
        <f>SUM(B5:D5)</f>
        <v>756</v>
      </c>
      <c r="F5" s="4" t="s">
        <v>61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6">
      <c r="A6" s="4" t="s">
        <v>13</v>
      </c>
      <c r="B6" s="6">
        <v>29</v>
      </c>
      <c r="C6" s="6" t="s">
        <v>62</v>
      </c>
      <c r="D6" s="6">
        <v>16</v>
      </c>
      <c r="E6" s="6">
        <f>B6+D6</f>
        <v>45</v>
      </c>
      <c r="F6" s="4" t="s">
        <v>63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 spans="1:2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" customHeight="1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3">
    <mergeCell ref="A1:H1"/>
    <mergeCell ref="A2:H2"/>
    <mergeCell ref="A16:L16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Table1_Stats</vt:lpstr>
      <vt:lpstr>Table2_Baseline</vt:lpstr>
      <vt:lpstr>Fig7_PriorScale</vt:lpstr>
      <vt:lpstr>Dataset_Splits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2026-05-11T08:43:00Z</dcterms:created>
  <dcterms:modified xsi:type="dcterms:W3CDTF">2026-06-06T10:21:04Z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AD3E1840383F454E95DC4828C3E03C46_12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